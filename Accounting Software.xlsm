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 zone\Desktop\IMPORTANT FILES\Excel Accounting V1\"/>
    </mc:Choice>
  </mc:AlternateContent>
  <xr:revisionPtr revIDLastSave="0" documentId="13_ncr:1_{3FC9E6C3-6976-4AD1-AC33-255DE187BD23}" xr6:coauthVersionLast="45" xr6:coauthVersionMax="45" xr10:uidLastSave="{00000000-0000-0000-0000-000000000000}"/>
  <bookViews>
    <workbookView xWindow="-120" yWindow="-120" windowWidth="20730" windowHeight="11160" firstSheet="2" activeTab="2" xr2:uid="{A541EB63-F2B7-4EA3-94D6-A8A5372FA374}"/>
  </bookViews>
  <sheets>
    <sheet name="none" sheetId="1" r:id="rId1"/>
    <sheet name="accounting_vouchers" sheetId="8" r:id="rId2"/>
    <sheet name="adjustment_voucher" sheetId="7" r:id="rId3"/>
    <sheet name="User_Database" sheetId="2" r:id="rId4"/>
    <sheet name="Group_Database" sheetId="3" r:id="rId5"/>
    <sheet name="Accounts_Database" sheetId="4" r:id="rId6"/>
    <sheet name="Stock_Group_Database" sheetId="6" r:id="rId7"/>
    <sheet name="Stock_Item_Database" sheetId="5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" i="8" l="1"/>
  <c r="AK11" i="8"/>
  <c r="AH11" i="8"/>
  <c r="XFD2" i="8"/>
  <c r="XFD1" i="8"/>
  <c r="AN11" i="7"/>
  <c r="AI11" i="7"/>
  <c r="XFD2" i="7"/>
  <c r="XFD1" i="7"/>
</calcChain>
</file>

<file path=xl/sharedStrings.xml><?xml version="1.0" encoding="utf-8"?>
<sst xmlns="http://schemas.openxmlformats.org/spreadsheetml/2006/main" count="139" uniqueCount="112">
  <si>
    <t>Code</t>
  </si>
  <si>
    <t>Name</t>
  </si>
  <si>
    <t>Password</t>
  </si>
  <si>
    <t>Company Name</t>
  </si>
  <si>
    <t>Company Address</t>
  </si>
  <si>
    <t xml:space="preserve">Mobile No </t>
  </si>
  <si>
    <t>Email Id</t>
  </si>
  <si>
    <t>U1</t>
  </si>
  <si>
    <t>Status</t>
  </si>
  <si>
    <t>LogIn Details</t>
  </si>
  <si>
    <t>Group Code</t>
  </si>
  <si>
    <t>Group Name</t>
  </si>
  <si>
    <t>Accounts Code</t>
  </si>
  <si>
    <t>Account Name</t>
  </si>
  <si>
    <t>Address</t>
  </si>
  <si>
    <t>Mobile Number</t>
  </si>
  <si>
    <t>Email ID</t>
  </si>
  <si>
    <t>Opening Balance</t>
  </si>
  <si>
    <t>AMAN</t>
  </si>
  <si>
    <t>AMAN INC</t>
  </si>
  <si>
    <t>NEW DELHI</t>
  </si>
  <si>
    <t>A@A.XOM</t>
  </si>
  <si>
    <t>AMAN2626</t>
  </si>
  <si>
    <t>Group Type Code</t>
  </si>
  <si>
    <t>Group Type  Name</t>
  </si>
  <si>
    <t>ASSETS</t>
  </si>
  <si>
    <t>LIABILITIES</t>
  </si>
  <si>
    <t>GRP1</t>
  </si>
  <si>
    <t>GRP2</t>
  </si>
  <si>
    <t>-</t>
  </si>
  <si>
    <t>U1-GRP4</t>
  </si>
  <si>
    <t>FIXED ASSETS</t>
  </si>
  <si>
    <t>U1-GRP1</t>
  </si>
  <si>
    <t>U1-GRP2</t>
  </si>
  <si>
    <t>CODE</t>
  </si>
  <si>
    <t>GRP4</t>
  </si>
  <si>
    <t>GRP3</t>
  </si>
  <si>
    <t>U1-GRP3</t>
  </si>
  <si>
    <t>GRP5</t>
  </si>
  <si>
    <t>FIXED LIABILITIES</t>
  </si>
  <si>
    <t>U1-GRP5</t>
  </si>
  <si>
    <t>GRP6</t>
  </si>
  <si>
    <t>CURRENT LIABILITIES</t>
  </si>
  <si>
    <t>U1-GRP6</t>
  </si>
  <si>
    <t>GRP7</t>
  </si>
  <si>
    <t>U1-GRP7</t>
  </si>
  <si>
    <t>CURRENT ASSETS</t>
  </si>
  <si>
    <t>FURNITURE</t>
  </si>
  <si>
    <t>Under Group Name</t>
  </si>
  <si>
    <t>ACC1</t>
  </si>
  <si>
    <t>Aman</t>
  </si>
  <si>
    <t>Mathurapur</t>
  </si>
  <si>
    <t>mathurapur</t>
  </si>
  <si>
    <t>ACC2</t>
  </si>
  <si>
    <t>U1-GRP4-ACC2</t>
  </si>
  <si>
    <t>ACC3</t>
  </si>
  <si>
    <t>mr@gmail.com</t>
  </si>
  <si>
    <t>U1-GRP6-ACC1</t>
  </si>
  <si>
    <t>Rohit</t>
  </si>
  <si>
    <t>Rohit@gmail.com</t>
  </si>
  <si>
    <t>BC</t>
  </si>
  <si>
    <t>Bcpur</t>
  </si>
  <si>
    <t>bc@bbc.com</t>
  </si>
  <si>
    <t>U1-GRP5-ACC3</t>
  </si>
  <si>
    <t>STOCK NAME</t>
  </si>
  <si>
    <t>UNDER GROUP</t>
  </si>
  <si>
    <t>STOCK CODE</t>
  </si>
  <si>
    <t>Stock Group Code</t>
  </si>
  <si>
    <t>Stock Group Name</t>
  </si>
  <si>
    <t>SG1</t>
  </si>
  <si>
    <t>U1-SG1</t>
  </si>
  <si>
    <t>SG2</t>
  </si>
  <si>
    <t>Accessories</t>
  </si>
  <si>
    <t>U1-SG2</t>
  </si>
  <si>
    <t>Mobile</t>
  </si>
  <si>
    <t>SG3</t>
  </si>
  <si>
    <t>Other Items</t>
  </si>
  <si>
    <t>U1-SG3</t>
  </si>
  <si>
    <t>A125</t>
  </si>
  <si>
    <t>STK1</t>
  </si>
  <si>
    <t>U1-SG1-STK1</t>
  </si>
  <si>
    <t>STK2</t>
  </si>
  <si>
    <t>U1-SG1-STK2</t>
  </si>
  <si>
    <t>M125</t>
  </si>
  <si>
    <t>U2</t>
  </si>
  <si>
    <t>AMIT</t>
  </si>
  <si>
    <t>AMIT INC</t>
  </si>
  <si>
    <t>AM@A.XOM</t>
  </si>
  <si>
    <t>AMIT2627</t>
  </si>
  <si>
    <t>U3</t>
  </si>
  <si>
    <t>ROHIT</t>
  </si>
  <si>
    <t>ROHIT INC</t>
  </si>
  <si>
    <t>PATNA</t>
  </si>
  <si>
    <t>ROHIT2629</t>
  </si>
  <si>
    <t>ADJUSTMENT</t>
  </si>
  <si>
    <t>INVOICE NO</t>
  </si>
  <si>
    <t>DATE</t>
  </si>
  <si>
    <t>PARTICULARS</t>
  </si>
  <si>
    <t>DEBIT</t>
  </si>
  <si>
    <t>CREDIT</t>
  </si>
  <si>
    <t>PARTICULAR</t>
  </si>
  <si>
    <t>Dr</t>
  </si>
  <si>
    <t>Cr</t>
  </si>
  <si>
    <t>VOUCHER NO</t>
  </si>
  <si>
    <t>INVOICE TOTAL</t>
  </si>
  <si>
    <t>NOTES…</t>
  </si>
  <si>
    <t>Account's Name</t>
  </si>
  <si>
    <t>QTY</t>
  </si>
  <si>
    <t>RATE</t>
  </si>
  <si>
    <t>VALUE</t>
  </si>
  <si>
    <t>SL</t>
  </si>
  <si>
    <t>ACCOUNTING VOUCHERS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</si>
</sst>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0" applyNumberFormat="1" applyFill="1"/>
    <xf numFmtId="164" fontId="0" fillId="0" borderId="4" xfId="0" applyNumberFormat="1" applyFill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164" fontId="0" fillId="0" borderId="0" xfId="0" applyNumberFormat="1" applyFill="1" applyBorder="1"/>
    <xf numFmtId="164" fontId="0" fillId="0" borderId="0" xfId="0" applyNumberFormat="1" applyFill="1"/>
    <xf numFmtId="49" fontId="4" fillId="2" borderId="1" xfId="0" applyNumberFormat="1" applyFont="1" applyFill="1" applyBorder="1" applyAlignment="1">
      <alignment horizontal="left" vertical="center" indent="2"/>
    </xf>
    <xf numFmtId="49" fontId="4" fillId="2" borderId="2" xfId="0" applyNumberFormat="1" applyFont="1" applyFill="1" applyBorder="1" applyAlignment="1">
      <alignment horizontal="left" vertical="center" indent="2"/>
    </xf>
    <xf numFmtId="49" fontId="4" fillId="2" borderId="3" xfId="0" applyNumberFormat="1" applyFont="1" applyFill="1" applyBorder="1" applyAlignment="1">
      <alignment horizontal="left" vertical="center" indent="2"/>
    </xf>
    <xf numFmtId="49" fontId="4" fillId="2" borderId="4" xfId="0" applyNumberFormat="1" applyFont="1" applyFill="1" applyBorder="1" applyAlignment="1">
      <alignment horizontal="left" vertical="center" indent="2"/>
    </xf>
    <xf numFmtId="49" fontId="4" fillId="2" borderId="0" xfId="0" applyNumberFormat="1" applyFont="1" applyFill="1" applyBorder="1" applyAlignment="1">
      <alignment horizontal="left" vertical="center" indent="2"/>
    </xf>
    <xf numFmtId="49" fontId="4" fillId="2" borderId="5" xfId="0" applyNumberFormat="1" applyFont="1" applyFill="1" applyBorder="1" applyAlignment="1">
      <alignment horizontal="left" vertical="center" indent="2"/>
    </xf>
    <xf numFmtId="164" fontId="0" fillId="3" borderId="1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49" fontId="0" fillId="0" borderId="9" xfId="0" applyNumberFormat="1" applyFill="1" applyBorder="1" applyAlignment="1">
      <alignment horizontal="center"/>
    </xf>
    <xf numFmtId="164" fontId="0" fillId="0" borderId="9" xfId="0" applyNumberFormat="1" applyFill="1" applyBorder="1" applyAlignment="1">
      <alignment horizontal="center"/>
    </xf>
    <xf numFmtId="164" fontId="0" fillId="0" borderId="0" xfId="0" applyNumberFormat="1" applyFill="1" applyBorder="1" applyAlignment="1"/>
    <xf numFmtId="164" fontId="0" fillId="0" borderId="5" xfId="0" applyNumberFormat="1" applyFill="1" applyBorder="1" applyAlignment="1"/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/>
    <xf numFmtId="2" fontId="0" fillId="0" borderId="0" xfId="0" applyNumberFormat="1" applyFill="1" applyBorder="1" applyAlignment="1">
      <alignment horizontal="center"/>
    </xf>
    <xf numFmtId="2" fontId="0" fillId="0" borderId="0" xfId="0" applyNumberFormat="1" applyFill="1"/>
    <xf numFmtId="0" fontId="0" fillId="0" borderId="0" xfId="0" applyNumberForma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left" vertical="center"/>
    </xf>
    <xf numFmtId="164" fontId="0" fillId="3" borderId="4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49" fontId="5" fillId="0" borderId="9" xfId="0" applyNumberFormat="1" applyFont="1" applyFill="1" applyBorder="1" applyAlignment="1">
      <alignment horizontal="center"/>
    </xf>
    <xf numFmtId="49" fontId="0" fillId="0" borderId="0" xfId="0" applyNumberFormat="1" applyFill="1" applyBorder="1"/>
    <xf numFmtId="49" fontId="3" fillId="4" borderId="9" xfId="0" applyNumberFormat="1" applyFont="1" applyFill="1" applyBorder="1" applyAlignment="1">
      <alignment horizontal="left" vertical="center"/>
    </xf>
    <xf numFmtId="0" fontId="3" fillId="4" borderId="9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left" vertical="center"/>
    </xf>
    <xf numFmtId="49" fontId="0" fillId="0" borderId="11" xfId="0" applyNumberFormat="1" applyFill="1" applyBorder="1" applyAlignment="1">
      <alignment horizontal="left" vertical="center"/>
    </xf>
    <xf numFmtId="49" fontId="0" fillId="0" borderId="12" xfId="0" applyNumberFormat="1" applyFill="1" applyBorder="1" applyAlignment="1">
      <alignment horizontal="left" vertical="center"/>
    </xf>
    <xf numFmtId="49" fontId="0" fillId="0" borderId="13" xfId="0" applyNumberFormat="1" applyFill="1" applyBorder="1" applyAlignment="1">
      <alignment horizontal="left" vertical="center"/>
    </xf>
    <xf numFmtId="49" fontId="0" fillId="0" borderId="14" xfId="0" applyNumberFormat="1" applyFill="1" applyBorder="1" applyAlignment="1">
      <alignment horizontal="left" vertical="center"/>
    </xf>
    <xf numFmtId="49" fontId="0" fillId="0" borderId="15" xfId="0" applyNumberFormat="1" applyFill="1" applyBorder="1" applyAlignment="1">
      <alignment horizontal="left" vertical="center"/>
    </xf>
    <xf numFmtId="49" fontId="0" fillId="0" borderId="16" xfId="0" applyNumberFormat="1" applyFill="1" applyBorder="1" applyAlignment="1">
      <alignment horizontal="left" vertical="center"/>
    </xf>
    <xf numFmtId="49" fontId="0" fillId="0" borderId="17" xfId="0" applyNumberFormat="1" applyFill="1" applyBorder="1" applyAlignment="1">
      <alignment horizontal="left" vertical="center"/>
    </xf>
    <xf numFmtId="49" fontId="0" fillId="0" borderId="18" xfId="0" applyNumberFormat="1" applyFill="1" applyBorder="1" applyAlignment="1">
      <alignment horizontal="left" vertical="center"/>
    </xf>
    <xf numFmtId="49" fontId="3" fillId="0" borderId="9" xfId="0" applyNumberFormat="1" applyFont="1" applyFill="1" applyBorder="1" applyAlignment="1">
      <alignment horizontal="center"/>
    </xf>
    <xf numFmtId="0" fontId="0" fillId="0" borderId="9" xfId="0" applyNumberFormat="1" applyFill="1" applyBorder="1" applyAlignment="1">
      <alignment horizontal="center"/>
    </xf>
    <xf numFmtId="49" fontId="3" fillId="0" borderId="9" xfId="0" applyNumberFormat="1" applyFont="1" applyFill="1" applyBorder="1" applyAlignment="1"/>
    <xf numFmtId="49" fontId="3" fillId="0" borderId="19" xfId="0" applyNumberFormat="1" applyFont="1" applyFill="1" applyBorder="1" applyAlignment="1"/>
    <xf numFmtId="49" fontId="3" fillId="0" borderId="20" xfId="0" applyNumberFormat="1" applyFont="1" applyFill="1" applyBorder="1" applyAlignment="1"/>
    <xf numFmtId="49" fontId="3" fillId="0" borderId="10" xfId="0" applyNumberFormat="1" applyFont="1" applyFill="1" applyBorder="1" applyAlignment="1"/>
    <xf numFmtId="164" fontId="0" fillId="0" borderId="9" xfId="0" applyNumberFormat="1" applyFill="1" applyBorder="1"/>
    <xf numFmtId="49" fontId="3" fillId="0" borderId="22" xfId="0" applyNumberFormat="1" applyFont="1" applyFill="1" applyBorder="1" applyAlignment="1"/>
    <xf numFmtId="49" fontId="3" fillId="0" borderId="6" xfId="0" applyNumberFormat="1" applyFont="1" applyFill="1" applyBorder="1" applyAlignment="1">
      <alignment horizontal="center" vertical="center"/>
    </xf>
    <xf numFmtId="49" fontId="3" fillId="0" borderId="7" xfId="0" applyNumberFormat="1" applyFont="1" applyFill="1" applyBorder="1" applyAlignment="1">
      <alignment horizontal="center" vertical="center"/>
    </xf>
    <xf numFmtId="49" fontId="3" fillId="0" borderId="8" xfId="0" applyNumberFormat="1" applyFont="1" applyFill="1" applyBorder="1" applyAlignment="1">
      <alignment horizontal="center" vertical="center"/>
    </xf>
    <xf numFmtId="0" fontId="3" fillId="0" borderId="22" xfId="0" applyNumberFormat="1" applyFont="1" applyFill="1" applyBorder="1" applyAlignment="1">
      <alignment horizontal="center"/>
    </xf>
    <xf numFmtId="49" fontId="3" fillId="0" borderId="20" xfId="0" applyNumberFormat="1" applyFont="1" applyFill="1" applyBorder="1" applyAlignment="1"/>
    <xf numFmtId="0" fontId="0" fillId="0" borderId="20" xfId="0" applyNumberFormat="1" applyFill="1" applyBorder="1" applyAlignment="1">
      <alignment horizontal="center"/>
    </xf>
    <xf numFmtId="49" fontId="3" fillId="4" borderId="21" xfId="0" applyNumberFormat="1" applyFont="1" applyFill="1" applyBorder="1" applyAlignment="1">
      <alignment horizontal="center"/>
    </xf>
    <xf numFmtId="0" fontId="3" fillId="0" borderId="9" xfId="0" applyNumberFormat="1" applyFont="1" applyFill="1" applyBorder="1" applyAlignment="1"/>
    <xf numFmtId="0" fontId="3" fillId="4" borderId="2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209550</xdr:colOff>
      <xdr:row>0</xdr:row>
      <xdr:rowOff>9525</xdr:rowOff>
    </xdr:from>
    <xdr:to>
      <xdr:col>46</xdr:col>
      <xdr:colOff>9525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276A03E-D5C8-47EE-AD30-53CCCC09A26E}"/>
            </a:ext>
          </a:extLst>
        </xdr:cNvPr>
        <xdr:cNvSpPr/>
      </xdr:nvSpPr>
      <xdr:spPr>
        <a:xfrm>
          <a:off x="9629775" y="9525"/>
          <a:ext cx="457200" cy="371475"/>
        </a:xfrm>
        <a:prstGeom prst="rect">
          <a:avLst/>
        </a:prstGeom>
        <a:solidFill>
          <a:srgbClr val="FF0000"/>
        </a:soli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X</a:t>
          </a:r>
        </a:p>
      </xdr:txBody>
    </xdr:sp>
    <xdr:clientData/>
  </xdr:twoCellAnchor>
  <xdr:twoCellAnchor>
    <xdr:from>
      <xdr:col>12</xdr:col>
      <xdr:colOff>209550</xdr:colOff>
      <xdr:row>2</xdr:row>
      <xdr:rowOff>28575</xdr:rowOff>
    </xdr:from>
    <xdr:to>
      <xdr:col>18</xdr:col>
      <xdr:colOff>57150</xdr:colOff>
      <xdr:row>3</xdr:row>
      <xdr:rowOff>123825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1496A-321A-43FA-A964-86C2DB6FA878}"/>
            </a:ext>
          </a:extLst>
        </xdr:cNvPr>
        <xdr:cNvSpPr/>
      </xdr:nvSpPr>
      <xdr:spPr>
        <a:xfrm>
          <a:off x="2838450" y="409575"/>
          <a:ext cx="1162050" cy="2571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INVOICE</a:t>
          </a:r>
        </a:p>
      </xdr:txBody>
    </xdr:sp>
    <xdr:clientData/>
  </xdr:twoCellAnchor>
  <xdr:twoCellAnchor>
    <xdr:from>
      <xdr:col>44</xdr:col>
      <xdr:colOff>57151</xdr:colOff>
      <xdr:row>2</xdr:row>
      <xdr:rowOff>28575</xdr:rowOff>
    </xdr:from>
    <xdr:to>
      <xdr:col>45</xdr:col>
      <xdr:colOff>123826</xdr:colOff>
      <xdr:row>3</xdr:row>
      <xdr:rowOff>123825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E608B7B-8C77-4E87-8727-4B5A6BA83F66}"/>
            </a:ext>
          </a:extLst>
        </xdr:cNvPr>
        <xdr:cNvSpPr/>
      </xdr:nvSpPr>
      <xdr:spPr>
        <a:xfrm>
          <a:off x="9696451" y="409575"/>
          <a:ext cx="285750" cy="2571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209550</xdr:colOff>
      <xdr:row>0</xdr:row>
      <xdr:rowOff>9525</xdr:rowOff>
    </xdr:from>
    <xdr:to>
      <xdr:col>46</xdr:col>
      <xdr:colOff>9525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B6DA13F-479E-4D84-8B61-A8B9886F8998}"/>
            </a:ext>
          </a:extLst>
        </xdr:cNvPr>
        <xdr:cNvSpPr/>
      </xdr:nvSpPr>
      <xdr:spPr>
        <a:xfrm>
          <a:off x="9410700" y="9525"/>
          <a:ext cx="457200" cy="371475"/>
        </a:xfrm>
        <a:prstGeom prst="rect">
          <a:avLst/>
        </a:prstGeom>
        <a:solidFill>
          <a:srgbClr val="FF0000"/>
        </a:soli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X</a:t>
          </a:r>
        </a:p>
      </xdr:txBody>
    </xdr:sp>
    <xdr:clientData/>
  </xdr:twoCellAnchor>
  <xdr:twoCellAnchor>
    <xdr:from>
      <xdr:col>12</xdr:col>
      <xdr:colOff>209550</xdr:colOff>
      <xdr:row>2</xdr:row>
      <xdr:rowOff>28575</xdr:rowOff>
    </xdr:from>
    <xdr:to>
      <xdr:col>18</xdr:col>
      <xdr:colOff>57150</xdr:colOff>
      <xdr:row>3</xdr:row>
      <xdr:rowOff>123825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F1CE8F8-5F22-43BF-B34E-7ED1BCDCC8FE}"/>
            </a:ext>
          </a:extLst>
        </xdr:cNvPr>
        <xdr:cNvSpPr/>
      </xdr:nvSpPr>
      <xdr:spPr>
        <a:xfrm>
          <a:off x="2838450" y="409575"/>
          <a:ext cx="1162050" cy="2571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INVOICE</a:t>
          </a:r>
        </a:p>
      </xdr:txBody>
    </xdr:sp>
    <xdr:clientData/>
  </xdr:twoCellAnchor>
  <xdr:twoCellAnchor>
    <xdr:from>
      <xdr:col>44</xdr:col>
      <xdr:colOff>57151</xdr:colOff>
      <xdr:row>2</xdr:row>
      <xdr:rowOff>28575</xdr:rowOff>
    </xdr:from>
    <xdr:to>
      <xdr:col>45</xdr:col>
      <xdr:colOff>123826</xdr:colOff>
      <xdr:row>3</xdr:row>
      <xdr:rowOff>123825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4D0FD49-D8C7-4073-95B1-F1B921D3B235}"/>
            </a:ext>
          </a:extLst>
        </xdr:cNvPr>
        <xdr:cNvSpPr/>
      </xdr:nvSpPr>
      <xdr:spPr>
        <a:xfrm>
          <a:off x="9477376" y="409575"/>
          <a:ext cx="285750" cy="2571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M@A.X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F03BD-419E-4763-81CA-BA0FC7881934}">
  <sheetPr codeName="Sheet1"/>
  <dimension ref="A1"/>
  <sheetViews>
    <sheetView workbookViewId="0">
      <selection activeCell="G12" sqref="G12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3EA6-0CB3-4A8E-96E8-F4DC8C6AF7F6}">
  <dimension ref="L1:XFD63"/>
  <sheetViews>
    <sheetView workbookViewId="0">
      <selection activeCell="L3" sqref="L3:AT4"/>
    </sheetView>
  </sheetViews>
  <sheetFormatPr defaultColWidth="3.28515625" defaultRowHeight="15" x14ac:dyDescent="0.25"/>
  <cols>
    <col min="1" max="11" width="3.28515625" style="12"/>
    <col min="12" max="12" width="3.28515625" style="8"/>
    <col min="13" max="13" width="3.28515625" style="11"/>
    <col min="14" max="34" width="3.28515625" style="12"/>
    <col min="35" max="44" width="3.28515625" style="31"/>
    <col min="45" max="45" width="3.28515625" style="12"/>
    <col min="46" max="46" width="3.28515625" style="10"/>
    <col min="47" max="16384" width="3.28515625" style="12"/>
  </cols>
  <sheetData>
    <row r="1" spans="12:46 16384:16384" x14ac:dyDescent="0.25">
      <c r="L1" s="13" t="s">
        <v>111</v>
      </c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5"/>
      <c r="XFD1" s="29" t="e">
        <f>SUBTOTAL(109,#REF!)</f>
        <v>#REF!</v>
      </c>
    </row>
    <row r="2" spans="12:46 16384:16384" x14ac:dyDescent="0.25">
      <c r="L2" s="16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8"/>
      <c r="XFD2" s="29" t="e">
        <f>SUBTOTAL(109,#REF!)</f>
        <v>#REF!</v>
      </c>
    </row>
    <row r="3" spans="12:46 16384:16384" ht="12.75" customHeight="1" x14ac:dyDescent="0.25">
      <c r="L3" s="19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1"/>
    </row>
    <row r="4" spans="12:46 16384:16384" ht="12.75" customHeight="1" x14ac:dyDescent="0.25">
      <c r="L4" s="34"/>
      <c r="M4" s="35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3"/>
    </row>
    <row r="5" spans="12:46 16384:16384" x14ac:dyDescent="0.25"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12:46 16384:16384" x14ac:dyDescent="0.25">
      <c r="M6" s="49" t="s">
        <v>103</v>
      </c>
      <c r="N6" s="49"/>
      <c r="O6" s="49"/>
      <c r="P6" s="49"/>
      <c r="Q6" s="49"/>
      <c r="R6" s="25"/>
      <c r="S6" s="25"/>
      <c r="T6" s="25"/>
      <c r="U6" s="25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49" t="s">
        <v>95</v>
      </c>
      <c r="AM6" s="49"/>
      <c r="AN6" s="49"/>
      <c r="AO6" s="49"/>
      <c r="AP6" s="25"/>
      <c r="AQ6" s="25"/>
      <c r="AR6" s="25"/>
      <c r="AS6" s="25"/>
    </row>
    <row r="7" spans="12:46 16384:16384" x14ac:dyDescent="0.25"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</row>
    <row r="8" spans="12:46 16384:16384" x14ac:dyDescent="0.25">
      <c r="M8" s="49" t="s">
        <v>106</v>
      </c>
      <c r="N8" s="49"/>
      <c r="O8" s="49"/>
      <c r="P8" s="49"/>
      <c r="Q8" s="49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11"/>
      <c r="AK8" s="11"/>
      <c r="AL8" s="49" t="s">
        <v>96</v>
      </c>
      <c r="AM8" s="49"/>
      <c r="AN8" s="49"/>
      <c r="AO8" s="49"/>
      <c r="AP8" s="25"/>
      <c r="AQ8" s="25"/>
      <c r="AR8" s="25"/>
      <c r="AS8" s="25"/>
    </row>
    <row r="9" spans="12:46 16384:16384" x14ac:dyDescent="0.25"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1" spans="12:46 16384:16384" x14ac:dyDescent="0.25">
      <c r="M11" s="63" t="s">
        <v>104</v>
      </c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5">
        <f>SUBTOTAL(109,AH14:AJ63)</f>
        <v>0</v>
      </c>
      <c r="AI11" s="65"/>
      <c r="AJ11" s="65"/>
      <c r="AK11" s="65">
        <f>SUBTOTAL(109,AK14:AN63)</f>
        <v>0</v>
      </c>
      <c r="AL11" s="65"/>
      <c r="AM11" s="65"/>
      <c r="AN11" s="65"/>
      <c r="AO11" s="65">
        <f>SUBTOTAL(109,AO14:AS63)</f>
        <v>0</v>
      </c>
      <c r="AP11" s="65"/>
      <c r="AQ11" s="65"/>
      <c r="AR11" s="65"/>
      <c r="AS11" s="65"/>
      <c r="AT11" s="27"/>
    </row>
    <row r="12" spans="12:46 16384:16384" x14ac:dyDescent="0.25">
      <c r="M12" s="61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</row>
    <row r="13" spans="12:46 16384:16384" x14ac:dyDescent="0.25">
      <c r="M13" s="56" t="s">
        <v>110</v>
      </c>
      <c r="N13" s="57" t="s">
        <v>97</v>
      </c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9"/>
      <c r="AH13" s="60" t="s">
        <v>107</v>
      </c>
      <c r="AI13" s="60"/>
      <c r="AJ13" s="60"/>
      <c r="AK13" s="60" t="s">
        <v>108</v>
      </c>
      <c r="AL13" s="60"/>
      <c r="AM13" s="60"/>
      <c r="AN13" s="60"/>
      <c r="AO13" s="60" t="s">
        <v>109</v>
      </c>
      <c r="AP13" s="60"/>
      <c r="AQ13" s="60"/>
      <c r="AR13" s="60"/>
      <c r="AS13" s="60"/>
    </row>
    <row r="14" spans="12:46 16384:16384" x14ac:dyDescent="0.25">
      <c r="M14" s="64">
        <v>1</v>
      </c>
      <c r="N14" s="52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4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</row>
    <row r="15" spans="12:46 16384:16384" x14ac:dyDescent="0.25">
      <c r="M15" s="64">
        <v>2</v>
      </c>
      <c r="N15" s="52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4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</row>
    <row r="16" spans="12:46 16384:16384" x14ac:dyDescent="0.25">
      <c r="M16" s="64">
        <v>3</v>
      </c>
      <c r="N16" s="52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4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</row>
    <row r="17" spans="13:45" x14ac:dyDescent="0.25">
      <c r="M17" s="64">
        <v>4</v>
      </c>
      <c r="N17" s="52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4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</row>
    <row r="18" spans="13:45" x14ac:dyDescent="0.25">
      <c r="M18" s="64">
        <v>5</v>
      </c>
      <c r="N18" s="52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4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</row>
    <row r="19" spans="13:45" x14ac:dyDescent="0.25">
      <c r="M19" s="64">
        <v>6</v>
      </c>
      <c r="N19" s="52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4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</row>
    <row r="20" spans="13:45" x14ac:dyDescent="0.25">
      <c r="M20" s="64">
        <v>7</v>
      </c>
      <c r="N20" s="52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4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</row>
    <row r="21" spans="13:45" x14ac:dyDescent="0.25">
      <c r="M21" s="64">
        <v>8</v>
      </c>
      <c r="N21" s="52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4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</row>
    <row r="22" spans="13:45" x14ac:dyDescent="0.25">
      <c r="M22" s="64">
        <v>9</v>
      </c>
      <c r="N22" s="52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4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</row>
    <row r="23" spans="13:45" x14ac:dyDescent="0.25">
      <c r="M23" s="64">
        <v>10</v>
      </c>
      <c r="N23" s="52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4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</row>
    <row r="24" spans="13:45" x14ac:dyDescent="0.25">
      <c r="M24" s="64">
        <v>11</v>
      </c>
      <c r="N24" s="52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4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</row>
    <row r="25" spans="13:45" x14ac:dyDescent="0.25">
      <c r="M25" s="64">
        <v>12</v>
      </c>
      <c r="N25" s="52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4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</row>
    <row r="26" spans="13:45" x14ac:dyDescent="0.25">
      <c r="M26" s="64">
        <v>13</v>
      </c>
      <c r="N26" s="52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4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</row>
    <row r="27" spans="13:45" x14ac:dyDescent="0.25">
      <c r="M27" s="64">
        <v>14</v>
      </c>
      <c r="N27" s="52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4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</row>
    <row r="28" spans="13:45" x14ac:dyDescent="0.25">
      <c r="M28" s="64">
        <v>15</v>
      </c>
      <c r="N28" s="52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4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</row>
    <row r="29" spans="13:45" x14ac:dyDescent="0.25">
      <c r="M29" s="64">
        <v>16</v>
      </c>
      <c r="N29" s="52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4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</row>
    <row r="30" spans="13:45" x14ac:dyDescent="0.25">
      <c r="M30" s="64">
        <v>17</v>
      </c>
      <c r="N30" s="52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4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</row>
    <row r="31" spans="13:45" x14ac:dyDescent="0.25">
      <c r="M31" s="64">
        <v>18</v>
      </c>
      <c r="N31" s="52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4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</row>
    <row r="32" spans="13:45" x14ac:dyDescent="0.25">
      <c r="M32" s="64">
        <v>19</v>
      </c>
      <c r="N32" s="52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4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</row>
    <row r="33" spans="13:45" x14ac:dyDescent="0.25">
      <c r="M33" s="64">
        <v>20</v>
      </c>
      <c r="N33" s="52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4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</row>
    <row r="34" spans="13:45" x14ac:dyDescent="0.25">
      <c r="M34" s="64">
        <v>21</v>
      </c>
      <c r="N34" s="52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</row>
    <row r="35" spans="13:45" x14ac:dyDescent="0.25">
      <c r="M35" s="64">
        <v>22</v>
      </c>
      <c r="N35" s="52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4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</row>
    <row r="36" spans="13:45" x14ac:dyDescent="0.25">
      <c r="M36" s="64">
        <v>23</v>
      </c>
      <c r="N36" s="52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4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</row>
    <row r="37" spans="13:45" x14ac:dyDescent="0.25">
      <c r="M37" s="64">
        <v>24</v>
      </c>
      <c r="N37" s="52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4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</row>
    <row r="38" spans="13:45" x14ac:dyDescent="0.25">
      <c r="M38" s="64">
        <v>25</v>
      </c>
      <c r="N38" s="52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4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</row>
    <row r="39" spans="13:45" x14ac:dyDescent="0.25">
      <c r="M39" s="64">
        <v>26</v>
      </c>
      <c r="N39" s="52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4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</row>
    <row r="40" spans="13:45" x14ac:dyDescent="0.25">
      <c r="M40" s="64">
        <v>27</v>
      </c>
      <c r="N40" s="52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4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</row>
    <row r="41" spans="13:45" x14ac:dyDescent="0.25">
      <c r="M41" s="64">
        <v>28</v>
      </c>
      <c r="N41" s="52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4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</row>
    <row r="42" spans="13:45" x14ac:dyDescent="0.25">
      <c r="M42" s="64">
        <v>29</v>
      </c>
      <c r="N42" s="52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4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</row>
    <row r="43" spans="13:45" x14ac:dyDescent="0.25">
      <c r="M43" s="64">
        <v>30</v>
      </c>
      <c r="N43" s="52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4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</row>
    <row r="44" spans="13:45" x14ac:dyDescent="0.25">
      <c r="M44" s="64">
        <v>31</v>
      </c>
      <c r="N44" s="52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4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</row>
    <row r="45" spans="13:45" x14ac:dyDescent="0.25">
      <c r="M45" s="64">
        <v>32</v>
      </c>
      <c r="N45" s="52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4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</row>
    <row r="46" spans="13:45" x14ac:dyDescent="0.25">
      <c r="M46" s="64">
        <v>33</v>
      </c>
      <c r="N46" s="52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4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</row>
    <row r="47" spans="13:45" x14ac:dyDescent="0.25">
      <c r="M47" s="64">
        <v>34</v>
      </c>
      <c r="N47" s="52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4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</row>
    <row r="48" spans="13:45" x14ac:dyDescent="0.25">
      <c r="M48" s="64">
        <v>35</v>
      </c>
      <c r="N48" s="52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4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</row>
    <row r="49" spans="13:45" x14ac:dyDescent="0.25">
      <c r="M49" s="64">
        <v>36</v>
      </c>
      <c r="N49" s="52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4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</row>
    <row r="50" spans="13:45" x14ac:dyDescent="0.25">
      <c r="M50" s="64">
        <v>37</v>
      </c>
      <c r="N50" s="52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4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</row>
    <row r="51" spans="13:45" x14ac:dyDescent="0.25">
      <c r="M51" s="64">
        <v>38</v>
      </c>
      <c r="N51" s="52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4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</row>
    <row r="52" spans="13:45" x14ac:dyDescent="0.25">
      <c r="M52" s="64">
        <v>39</v>
      </c>
      <c r="N52" s="52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4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</row>
    <row r="53" spans="13:45" x14ac:dyDescent="0.25">
      <c r="M53" s="64">
        <v>40</v>
      </c>
      <c r="N53" s="52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4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</row>
    <row r="54" spans="13:45" x14ac:dyDescent="0.25">
      <c r="M54" s="64">
        <v>41</v>
      </c>
      <c r="N54" s="52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4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</row>
    <row r="55" spans="13:45" x14ac:dyDescent="0.25">
      <c r="M55" s="64">
        <v>42</v>
      </c>
      <c r="N55" s="52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4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</row>
    <row r="56" spans="13:45" x14ac:dyDescent="0.25">
      <c r="M56" s="64">
        <v>43</v>
      </c>
      <c r="N56" s="52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4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</row>
    <row r="57" spans="13:45" x14ac:dyDescent="0.25">
      <c r="M57" s="64">
        <v>44</v>
      </c>
      <c r="N57" s="52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4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</row>
    <row r="58" spans="13:45" x14ac:dyDescent="0.25">
      <c r="M58" s="64">
        <v>45</v>
      </c>
      <c r="N58" s="52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4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</row>
    <row r="59" spans="13:45" x14ac:dyDescent="0.25">
      <c r="M59" s="64">
        <v>46</v>
      </c>
      <c r="N59" s="52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4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</row>
    <row r="60" spans="13:45" x14ac:dyDescent="0.25">
      <c r="M60" s="64">
        <v>47</v>
      </c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</row>
    <row r="61" spans="13:45" x14ac:dyDescent="0.25">
      <c r="M61" s="64">
        <v>48</v>
      </c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</row>
    <row r="62" spans="13:45" x14ac:dyDescent="0.25">
      <c r="M62" s="64">
        <v>49</v>
      </c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</row>
    <row r="63" spans="13:45" x14ac:dyDescent="0.25">
      <c r="M63" s="64">
        <v>50</v>
      </c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</row>
  </sheetData>
  <mergeCells count="222">
    <mergeCell ref="AK63:AN63"/>
    <mergeCell ref="AO63:AS63"/>
    <mergeCell ref="N61:AG61"/>
    <mergeCell ref="N62:AG62"/>
    <mergeCell ref="N63:AG63"/>
    <mergeCell ref="AH61:AJ61"/>
    <mergeCell ref="AK61:AN61"/>
    <mergeCell ref="AO61:AS61"/>
    <mergeCell ref="AH62:AJ62"/>
    <mergeCell ref="AK62:AN62"/>
    <mergeCell ref="AO62:AS62"/>
    <mergeCell ref="AH63:AJ63"/>
    <mergeCell ref="N20:AG20"/>
    <mergeCell ref="N21:AG21"/>
    <mergeCell ref="N22:AG22"/>
    <mergeCell ref="N23:AG23"/>
    <mergeCell ref="N24:AG24"/>
    <mergeCell ref="N25:AG25"/>
    <mergeCell ref="N12:AG12"/>
    <mergeCell ref="N13:AG13"/>
    <mergeCell ref="N14:AG14"/>
    <mergeCell ref="N15:AG15"/>
    <mergeCell ref="N16:AG16"/>
    <mergeCell ref="N17:AG17"/>
    <mergeCell ref="AH59:AJ59"/>
    <mergeCell ref="AK59:AN59"/>
    <mergeCell ref="AO59:AS59"/>
    <mergeCell ref="AH60:AJ60"/>
    <mergeCell ref="AK60:AN60"/>
    <mergeCell ref="AO60:AS60"/>
    <mergeCell ref="N59:AG59"/>
    <mergeCell ref="N60:AG60"/>
    <mergeCell ref="AH57:AJ57"/>
    <mergeCell ref="AK57:AN57"/>
    <mergeCell ref="AO57:AS57"/>
    <mergeCell ref="AH58:AJ58"/>
    <mergeCell ref="AK58:AN58"/>
    <mergeCell ref="AO58:AS58"/>
    <mergeCell ref="N57:AG57"/>
    <mergeCell ref="N58:AG58"/>
    <mergeCell ref="AH55:AJ55"/>
    <mergeCell ref="AK55:AN55"/>
    <mergeCell ref="AO55:AS55"/>
    <mergeCell ref="AH56:AJ56"/>
    <mergeCell ref="AK56:AN56"/>
    <mergeCell ref="AO56:AS56"/>
    <mergeCell ref="N55:AG55"/>
    <mergeCell ref="N56:AG56"/>
    <mergeCell ref="AH53:AJ53"/>
    <mergeCell ref="AK53:AN53"/>
    <mergeCell ref="AO53:AS53"/>
    <mergeCell ref="AH54:AJ54"/>
    <mergeCell ref="AK54:AN54"/>
    <mergeCell ref="AO54:AS54"/>
    <mergeCell ref="N53:AG53"/>
    <mergeCell ref="N54:AG54"/>
    <mergeCell ref="AH51:AJ51"/>
    <mergeCell ref="AK51:AN51"/>
    <mergeCell ref="AO51:AS51"/>
    <mergeCell ref="AH52:AJ52"/>
    <mergeCell ref="AK52:AN52"/>
    <mergeCell ref="AO52:AS52"/>
    <mergeCell ref="N51:AG51"/>
    <mergeCell ref="N52:AG52"/>
    <mergeCell ref="AH49:AJ49"/>
    <mergeCell ref="AK49:AN49"/>
    <mergeCell ref="AO49:AS49"/>
    <mergeCell ref="AH50:AJ50"/>
    <mergeCell ref="AK50:AN50"/>
    <mergeCell ref="AO50:AS50"/>
    <mergeCell ref="N49:AG49"/>
    <mergeCell ref="N50:AG50"/>
    <mergeCell ref="AH47:AJ47"/>
    <mergeCell ref="AK47:AN47"/>
    <mergeCell ref="AO47:AS47"/>
    <mergeCell ref="AH48:AJ48"/>
    <mergeCell ref="AK48:AN48"/>
    <mergeCell ref="AO48:AS48"/>
    <mergeCell ref="N47:AG47"/>
    <mergeCell ref="N48:AG48"/>
    <mergeCell ref="AH45:AJ45"/>
    <mergeCell ref="AK45:AN45"/>
    <mergeCell ref="AO45:AS45"/>
    <mergeCell ref="AH46:AJ46"/>
    <mergeCell ref="AK46:AN46"/>
    <mergeCell ref="AO46:AS46"/>
    <mergeCell ref="N45:AG45"/>
    <mergeCell ref="N46:AG46"/>
    <mergeCell ref="AH43:AJ43"/>
    <mergeCell ref="AK43:AN43"/>
    <mergeCell ref="AO43:AS43"/>
    <mergeCell ref="AH44:AJ44"/>
    <mergeCell ref="AK44:AN44"/>
    <mergeCell ref="AO44:AS44"/>
    <mergeCell ref="N43:AG43"/>
    <mergeCell ref="N44:AG44"/>
    <mergeCell ref="AH41:AJ41"/>
    <mergeCell ref="AK41:AN41"/>
    <mergeCell ref="AO41:AS41"/>
    <mergeCell ref="AH42:AJ42"/>
    <mergeCell ref="AK42:AN42"/>
    <mergeCell ref="AO42:AS42"/>
    <mergeCell ref="N41:AG41"/>
    <mergeCell ref="N42:AG42"/>
    <mergeCell ref="AH39:AJ39"/>
    <mergeCell ref="AK39:AN39"/>
    <mergeCell ref="AO39:AS39"/>
    <mergeCell ref="AH40:AJ40"/>
    <mergeCell ref="AK40:AN40"/>
    <mergeCell ref="AO40:AS40"/>
    <mergeCell ref="N39:AG39"/>
    <mergeCell ref="N40:AG40"/>
    <mergeCell ref="AH37:AJ37"/>
    <mergeCell ref="AK37:AN37"/>
    <mergeCell ref="AO37:AS37"/>
    <mergeCell ref="AH38:AJ38"/>
    <mergeCell ref="AK38:AN38"/>
    <mergeCell ref="AO38:AS38"/>
    <mergeCell ref="N37:AG37"/>
    <mergeCell ref="N38:AG38"/>
    <mergeCell ref="AH35:AJ35"/>
    <mergeCell ref="AK35:AN35"/>
    <mergeCell ref="AO35:AS35"/>
    <mergeCell ref="AH36:AJ36"/>
    <mergeCell ref="AK36:AN36"/>
    <mergeCell ref="AO36:AS36"/>
    <mergeCell ref="N35:AG35"/>
    <mergeCell ref="N36:AG36"/>
    <mergeCell ref="AH33:AJ33"/>
    <mergeCell ref="AK33:AN33"/>
    <mergeCell ref="AO33:AS33"/>
    <mergeCell ref="AH34:AJ34"/>
    <mergeCell ref="AK34:AN34"/>
    <mergeCell ref="AO34:AS34"/>
    <mergeCell ref="N33:AG33"/>
    <mergeCell ref="N34:AG34"/>
    <mergeCell ref="AH31:AJ31"/>
    <mergeCell ref="AK31:AN31"/>
    <mergeCell ref="AO31:AS31"/>
    <mergeCell ref="AH32:AJ32"/>
    <mergeCell ref="AK32:AN32"/>
    <mergeCell ref="AO32:AS32"/>
    <mergeCell ref="N31:AG31"/>
    <mergeCell ref="N32:AG32"/>
    <mergeCell ref="AH29:AJ29"/>
    <mergeCell ref="AK29:AN29"/>
    <mergeCell ref="AO29:AS29"/>
    <mergeCell ref="AH30:AJ30"/>
    <mergeCell ref="AK30:AN30"/>
    <mergeCell ref="AO30:AS30"/>
    <mergeCell ref="N29:AG29"/>
    <mergeCell ref="N30:AG30"/>
    <mergeCell ref="AH27:AJ27"/>
    <mergeCell ref="AK27:AN27"/>
    <mergeCell ref="AO27:AS27"/>
    <mergeCell ref="AH28:AJ28"/>
    <mergeCell ref="AK28:AN28"/>
    <mergeCell ref="AO28:AS28"/>
    <mergeCell ref="N27:AG27"/>
    <mergeCell ref="N28:AG28"/>
    <mergeCell ref="AH25:AJ25"/>
    <mergeCell ref="AK25:AN25"/>
    <mergeCell ref="AO25:AS25"/>
    <mergeCell ref="AH26:AJ26"/>
    <mergeCell ref="AK26:AN26"/>
    <mergeCell ref="AO26:AS26"/>
    <mergeCell ref="N26:AG26"/>
    <mergeCell ref="AH23:AJ23"/>
    <mergeCell ref="AK23:AN23"/>
    <mergeCell ref="AO23:AS23"/>
    <mergeCell ref="AH24:AJ24"/>
    <mergeCell ref="AK24:AN24"/>
    <mergeCell ref="AO24:AS24"/>
    <mergeCell ref="AH21:AJ21"/>
    <mergeCell ref="AK21:AN21"/>
    <mergeCell ref="AO21:AS21"/>
    <mergeCell ref="AH22:AJ22"/>
    <mergeCell ref="AK22:AN22"/>
    <mergeCell ref="AO22:AS22"/>
    <mergeCell ref="AH18:AJ18"/>
    <mergeCell ref="AK18:AN18"/>
    <mergeCell ref="AO18:AS18"/>
    <mergeCell ref="AH19:AJ19"/>
    <mergeCell ref="AK19:AN19"/>
    <mergeCell ref="AO19:AS19"/>
    <mergeCell ref="N18:AG18"/>
    <mergeCell ref="N19:AG19"/>
    <mergeCell ref="AH14:AJ14"/>
    <mergeCell ref="AK14:AN14"/>
    <mergeCell ref="AO14:AS14"/>
    <mergeCell ref="AH15:AJ15"/>
    <mergeCell ref="AK15:AN15"/>
    <mergeCell ref="AO15:AS15"/>
    <mergeCell ref="M6:Q6"/>
    <mergeCell ref="M8:Q8"/>
    <mergeCell ref="R8:AI8"/>
    <mergeCell ref="AH11:AJ11"/>
    <mergeCell ref="AK11:AN11"/>
    <mergeCell ref="AO11:AS11"/>
    <mergeCell ref="M11:AG11"/>
    <mergeCell ref="AH20:AJ20"/>
    <mergeCell ref="AK20:AN20"/>
    <mergeCell ref="AO20:AS20"/>
    <mergeCell ref="AH17:AJ17"/>
    <mergeCell ref="AK17:AN17"/>
    <mergeCell ref="AO17:AS17"/>
    <mergeCell ref="AH16:AJ16"/>
    <mergeCell ref="AK16:AN16"/>
    <mergeCell ref="AO16:AS16"/>
    <mergeCell ref="AH13:AJ13"/>
    <mergeCell ref="AK13:AN13"/>
    <mergeCell ref="AO13:AS13"/>
    <mergeCell ref="AH12:AJ12"/>
    <mergeCell ref="AK12:AN12"/>
    <mergeCell ref="AO12:AS12"/>
    <mergeCell ref="L1:AT2"/>
    <mergeCell ref="L3:AT4"/>
    <mergeCell ref="R6:U6"/>
    <mergeCell ref="AL6:AO6"/>
    <mergeCell ref="AP6:AS6"/>
    <mergeCell ref="AL8:AO8"/>
    <mergeCell ref="AP8:AS8"/>
  </mergeCells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09A3C-D0F5-4156-9A7F-36C1DAE08552}">
  <dimension ref="L1:XFD23"/>
  <sheetViews>
    <sheetView tabSelected="1" workbookViewId="0">
      <selection activeCell="N16" sqref="N16:AH16"/>
    </sheetView>
  </sheetViews>
  <sheetFormatPr defaultColWidth="3.28515625" defaultRowHeight="15" x14ac:dyDescent="0.25"/>
  <cols>
    <col min="1" max="11" width="3.28515625" style="7"/>
    <col min="12" max="12" width="3.28515625" style="8"/>
    <col min="13" max="13" width="3.28515625" style="11"/>
    <col min="14" max="34" width="3.28515625" style="7"/>
    <col min="35" max="44" width="3.28515625" style="31"/>
    <col min="45" max="45" width="3.28515625" style="7"/>
    <col min="46" max="46" width="3.28515625" style="10"/>
    <col min="47" max="16384" width="3.28515625" style="7"/>
  </cols>
  <sheetData>
    <row r="1" spans="12:46 16384:16384" x14ac:dyDescent="0.25">
      <c r="L1" s="13" t="s">
        <v>94</v>
      </c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5"/>
      <c r="XFD1" s="29">
        <f>SUBTOTAL(109,AI14:AI21)</f>
        <v>0</v>
      </c>
    </row>
    <row r="2" spans="12:46 16384:16384" x14ac:dyDescent="0.25">
      <c r="L2" s="16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8"/>
      <c r="XFD2" s="29">
        <f>SUBTOTAL(109,AN14:AN21)</f>
        <v>0</v>
      </c>
    </row>
    <row r="3" spans="12:46 16384:16384" ht="12.75" customHeight="1" x14ac:dyDescent="0.25">
      <c r="L3" s="19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1"/>
    </row>
    <row r="4" spans="12:46 16384:16384" ht="12.75" customHeight="1" x14ac:dyDescent="0.25">
      <c r="L4" s="34"/>
      <c r="M4" s="35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3"/>
    </row>
    <row r="5" spans="12:46 16384:16384" x14ac:dyDescent="0.25"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</row>
    <row r="6" spans="12:46 16384:16384" x14ac:dyDescent="0.25">
      <c r="N6" s="24" t="s">
        <v>103</v>
      </c>
      <c r="O6" s="24"/>
      <c r="P6" s="24"/>
      <c r="Q6" s="24"/>
      <c r="R6" s="25"/>
      <c r="S6" s="25"/>
      <c r="T6" s="25"/>
      <c r="U6" s="25"/>
      <c r="V6" s="11"/>
      <c r="W6" s="11"/>
      <c r="X6" s="11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</row>
    <row r="7" spans="12:46 16384:16384" x14ac:dyDescent="0.25">
      <c r="N7" s="9"/>
      <c r="O7" s="9"/>
      <c r="P7" s="9"/>
      <c r="Q7" s="9"/>
      <c r="R7" s="9"/>
      <c r="S7" s="9"/>
      <c r="T7" s="9"/>
      <c r="U7" s="9"/>
      <c r="V7" s="11"/>
      <c r="W7" s="11"/>
      <c r="X7" s="11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</row>
    <row r="8" spans="12:46 16384:16384" x14ac:dyDescent="0.25">
      <c r="N8" s="24" t="s">
        <v>95</v>
      </c>
      <c r="O8" s="24"/>
      <c r="P8" s="24"/>
      <c r="Q8" s="24"/>
      <c r="R8" s="25"/>
      <c r="S8" s="25"/>
      <c r="T8" s="25"/>
      <c r="U8" s="25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24" t="s">
        <v>96</v>
      </c>
      <c r="AM8" s="24"/>
      <c r="AN8" s="24"/>
      <c r="AO8" s="24"/>
      <c r="AP8" s="25"/>
      <c r="AQ8" s="25"/>
      <c r="AR8" s="25"/>
      <c r="AS8" s="25"/>
    </row>
    <row r="9" spans="12:46 16384:16384" x14ac:dyDescent="0.25"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</row>
    <row r="10" spans="12:46 16384:16384" x14ac:dyDescent="0.25"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</row>
    <row r="11" spans="12:46 16384:16384" x14ac:dyDescent="0.25">
      <c r="N11" s="38" t="s">
        <v>104</v>
      </c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>
        <f>SUBTOTAL(9,AI15:AM21)</f>
        <v>0</v>
      </c>
      <c r="AJ11" s="39"/>
      <c r="AK11" s="39"/>
      <c r="AL11" s="39"/>
      <c r="AM11" s="39"/>
      <c r="AN11" s="39">
        <f>SUBTOTAL(9,AN15:AR21)</f>
        <v>0</v>
      </c>
      <c r="AO11" s="39"/>
      <c r="AP11" s="39"/>
      <c r="AQ11" s="39"/>
      <c r="AR11" s="39"/>
      <c r="AS11" s="26"/>
      <c r="AT11" s="27"/>
    </row>
    <row r="12" spans="12:46 16384:16384" x14ac:dyDescent="0.25"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32"/>
      <c r="AJ12" s="30"/>
      <c r="AK12" s="30"/>
      <c r="AL12" s="30"/>
      <c r="AM12" s="30"/>
      <c r="AN12" s="28"/>
      <c r="AO12" s="28"/>
      <c r="AP12" s="28"/>
      <c r="AQ12" s="28"/>
      <c r="AR12" s="28"/>
      <c r="AS12" s="9"/>
    </row>
    <row r="13" spans="12:46 16384:16384" x14ac:dyDescent="0.25">
      <c r="M13" s="37"/>
      <c r="N13" s="36" t="s">
        <v>100</v>
      </c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36" t="s">
        <v>98</v>
      </c>
      <c r="AJ13" s="24"/>
      <c r="AK13" s="24"/>
      <c r="AL13" s="24"/>
      <c r="AM13" s="24"/>
      <c r="AN13" s="36" t="s">
        <v>99</v>
      </c>
      <c r="AO13" s="24"/>
      <c r="AP13" s="24"/>
      <c r="AQ13" s="24"/>
      <c r="AR13" s="24"/>
    </row>
    <row r="14" spans="12:46 16384:16384" x14ac:dyDescent="0.25">
      <c r="M14" s="37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32"/>
      <c r="AJ14" s="32"/>
      <c r="AK14" s="32"/>
      <c r="AL14" s="32"/>
      <c r="AM14" s="32"/>
      <c r="AN14" s="32"/>
      <c r="AO14" s="32"/>
      <c r="AP14" s="32"/>
      <c r="AQ14" s="32"/>
      <c r="AR14" s="32"/>
    </row>
    <row r="15" spans="12:46 16384:16384" x14ac:dyDescent="0.25">
      <c r="M15" s="37" t="s">
        <v>101</v>
      </c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32"/>
      <c r="AJ15" s="32"/>
      <c r="AK15" s="32"/>
      <c r="AL15" s="32"/>
      <c r="AM15" s="32"/>
      <c r="AN15" s="32"/>
      <c r="AO15" s="32"/>
      <c r="AP15" s="32"/>
      <c r="AQ15" s="32"/>
      <c r="AR15" s="32"/>
    </row>
    <row r="16" spans="12:46 16384:16384" x14ac:dyDescent="0.25">
      <c r="M16" s="37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32"/>
      <c r="AJ16" s="32"/>
      <c r="AK16" s="32"/>
      <c r="AL16" s="32"/>
      <c r="AM16" s="32"/>
      <c r="AN16" s="32"/>
      <c r="AO16" s="32"/>
      <c r="AP16" s="32"/>
      <c r="AQ16" s="32"/>
      <c r="AR16" s="32"/>
    </row>
    <row r="17" spans="13:44" x14ac:dyDescent="0.25">
      <c r="M17" s="37" t="s">
        <v>102</v>
      </c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32"/>
      <c r="AJ17" s="32"/>
      <c r="AK17" s="32"/>
      <c r="AL17" s="32"/>
      <c r="AM17" s="32"/>
      <c r="AN17" s="32"/>
      <c r="AO17" s="32"/>
      <c r="AP17" s="32"/>
      <c r="AQ17" s="32"/>
      <c r="AR17" s="32"/>
    </row>
    <row r="18" spans="13:44" x14ac:dyDescent="0.25">
      <c r="M18" s="37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32"/>
      <c r="AJ18" s="32"/>
      <c r="AK18" s="32"/>
      <c r="AL18" s="32"/>
      <c r="AM18" s="32"/>
      <c r="AN18" s="32"/>
      <c r="AO18" s="32"/>
      <c r="AP18" s="32"/>
      <c r="AQ18" s="32"/>
      <c r="AR18" s="32"/>
    </row>
    <row r="19" spans="13:44" x14ac:dyDescent="0.25">
      <c r="M19" s="37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32"/>
      <c r="AJ19" s="32"/>
      <c r="AK19" s="32"/>
      <c r="AL19" s="32"/>
      <c r="AM19" s="32"/>
      <c r="AN19" s="32"/>
      <c r="AO19" s="32"/>
      <c r="AP19" s="32"/>
      <c r="AQ19" s="32"/>
      <c r="AR19" s="32"/>
    </row>
    <row r="20" spans="13:44" ht="15.75" thickBot="1" x14ac:dyDescent="0.3">
      <c r="M20" s="37"/>
      <c r="N20" s="33" t="s">
        <v>105</v>
      </c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2"/>
      <c r="AJ20" s="32"/>
      <c r="AK20" s="32"/>
      <c r="AL20" s="32"/>
      <c r="AM20" s="32"/>
      <c r="AN20" s="32"/>
      <c r="AO20" s="32"/>
      <c r="AP20" s="32"/>
      <c r="AQ20" s="32"/>
      <c r="AR20" s="32"/>
    </row>
    <row r="21" spans="13:44" x14ac:dyDescent="0.25">
      <c r="M21" s="37"/>
      <c r="N21" s="41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3"/>
    </row>
    <row r="22" spans="13:44" x14ac:dyDescent="0.25">
      <c r="N22" s="44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5"/>
    </row>
    <row r="23" spans="13:44" ht="15.75" thickBot="1" x14ac:dyDescent="0.3">
      <c r="N23" s="46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8"/>
    </row>
  </sheetData>
  <mergeCells count="39">
    <mergeCell ref="N21:AR23"/>
    <mergeCell ref="AI19:AM19"/>
    <mergeCell ref="AN19:AR19"/>
    <mergeCell ref="N20:AH20"/>
    <mergeCell ref="AI20:AM20"/>
    <mergeCell ref="AN20:AR20"/>
    <mergeCell ref="AI15:AM15"/>
    <mergeCell ref="AN15:AR15"/>
    <mergeCell ref="N16:AH16"/>
    <mergeCell ref="AI16:AM16"/>
    <mergeCell ref="AN16:AR16"/>
    <mergeCell ref="N17:AH17"/>
    <mergeCell ref="AI17:AM17"/>
    <mergeCell ref="AN17:AR17"/>
    <mergeCell ref="N18:AH18"/>
    <mergeCell ref="AI18:AM18"/>
    <mergeCell ref="AN18:AR18"/>
    <mergeCell ref="N12:AH12"/>
    <mergeCell ref="AI12:AM12"/>
    <mergeCell ref="AN12:AR12"/>
    <mergeCell ref="N13:AH13"/>
    <mergeCell ref="AI13:AM13"/>
    <mergeCell ref="AN13:AR13"/>
    <mergeCell ref="N14:AH14"/>
    <mergeCell ref="AI14:AM14"/>
    <mergeCell ref="AN14:AR14"/>
    <mergeCell ref="L1:AT2"/>
    <mergeCell ref="L3:AT4"/>
    <mergeCell ref="N6:Q6"/>
    <mergeCell ref="N8:Q8"/>
    <mergeCell ref="R8:U8"/>
    <mergeCell ref="AL8:AO8"/>
    <mergeCell ref="AP8:AS8"/>
    <mergeCell ref="N11:AH11"/>
    <mergeCell ref="AI11:AM11"/>
    <mergeCell ref="AN11:AR11"/>
    <mergeCell ref="R6:U6"/>
    <mergeCell ref="N15:AH15"/>
    <mergeCell ref="N19:AH19"/>
  </mergeCells>
  <dataValidations count="1">
    <dataValidation type="list" allowBlank="1" showInputMessage="1" showErrorMessage="1" sqref="M15 M17" xr:uid="{CAAD71C7-585B-4DCC-9AC0-EFB2BBC05C78}">
      <formula1>"Dr,Cr"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326F9-23EF-47D1-81EA-7333B4DD8A3A}">
  <sheetPr codeName="Sheet2"/>
  <dimension ref="A1:I5"/>
  <sheetViews>
    <sheetView workbookViewId="0">
      <selection activeCell="F10" sqref="F10"/>
    </sheetView>
  </sheetViews>
  <sheetFormatPr defaultRowHeight="15" x14ac:dyDescent="0.25"/>
  <cols>
    <col min="1" max="1" width="5.5703125" bestFit="1" customWidth="1"/>
    <col min="2" max="2" width="14.85546875" customWidth="1"/>
    <col min="3" max="3" width="13.140625" customWidth="1"/>
    <col min="4" max="4" width="20.28515625" customWidth="1"/>
    <col min="5" max="5" width="24.5703125" customWidth="1"/>
    <col min="6" max="6" width="18.140625" customWidth="1"/>
    <col min="7" max="7" width="23.5703125" customWidth="1"/>
    <col min="8" max="8" width="22.28515625" customWidth="1"/>
    <col min="9" max="9" width="10.85546875" customWidth="1"/>
  </cols>
  <sheetData>
    <row r="1" spans="1:9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9</v>
      </c>
      <c r="I1" s="2" t="s">
        <v>8</v>
      </c>
    </row>
    <row r="2" spans="1:9" x14ac:dyDescent="0.25">
      <c r="A2" s="5" t="s">
        <v>7</v>
      </c>
      <c r="B2" t="s">
        <v>18</v>
      </c>
      <c r="C2">
        <v>2626</v>
      </c>
      <c r="D2" t="s">
        <v>19</v>
      </c>
      <c r="E2" t="s">
        <v>20</v>
      </c>
      <c r="F2" s="5">
        <v>8409725709</v>
      </c>
      <c r="G2" s="1" t="s">
        <v>21</v>
      </c>
      <c r="H2" s="5" t="s">
        <v>22</v>
      </c>
      <c r="I2" s="5"/>
    </row>
    <row r="3" spans="1:9" x14ac:dyDescent="0.25">
      <c r="A3" s="5" t="s">
        <v>84</v>
      </c>
      <c r="B3" t="s">
        <v>85</v>
      </c>
      <c r="C3">
        <v>2627</v>
      </c>
      <c r="D3" t="s">
        <v>86</v>
      </c>
      <c r="E3" t="s">
        <v>20</v>
      </c>
      <c r="F3" s="5">
        <v>4848</v>
      </c>
      <c r="G3" s="1" t="s">
        <v>87</v>
      </c>
      <c r="H3" s="5" t="s">
        <v>88</v>
      </c>
      <c r="I3" s="5"/>
    </row>
    <row r="4" spans="1:9" x14ac:dyDescent="0.25">
      <c r="A4" s="5" t="s">
        <v>89</v>
      </c>
      <c r="B4" t="s">
        <v>90</v>
      </c>
      <c r="C4" s="4">
        <v>2629</v>
      </c>
      <c r="D4" t="s">
        <v>91</v>
      </c>
      <c r="E4" t="s">
        <v>92</v>
      </c>
      <c r="F4" s="6">
        <v>4848</v>
      </c>
      <c r="G4" t="s">
        <v>87</v>
      </c>
      <c r="H4" s="5" t="s">
        <v>93</v>
      </c>
      <c r="I4" s="5"/>
    </row>
    <row r="5" spans="1:9" x14ac:dyDescent="0.25">
      <c r="F5" s="5"/>
      <c r="I5" s="5"/>
    </row>
  </sheetData>
  <phoneticPr fontId="2" type="noConversion"/>
  <hyperlinks>
    <hyperlink ref="G3" r:id="rId1" xr:uid="{15DC0295-4856-4804-88DA-D4DEFAE0927D}"/>
  </hyperlinks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1944D-98BB-4C69-9591-9052269280E8}">
  <sheetPr codeName="Sheet3"/>
  <dimension ref="A1:E8"/>
  <sheetViews>
    <sheetView workbookViewId="0">
      <selection activeCell="D19" sqref="D19"/>
    </sheetView>
  </sheetViews>
  <sheetFormatPr defaultRowHeight="15" x14ac:dyDescent="0.25"/>
  <cols>
    <col min="1" max="1" width="8.5703125" bestFit="1" customWidth="1"/>
    <col min="2" max="2" width="11.42578125" bestFit="1" customWidth="1"/>
    <col min="3" max="3" width="19.28515625" bestFit="1" customWidth="1"/>
    <col min="4" max="4" width="16.28515625" bestFit="1" customWidth="1"/>
    <col min="5" max="5" width="17.5703125" bestFit="1" customWidth="1"/>
  </cols>
  <sheetData>
    <row r="1" spans="1:5" x14ac:dyDescent="0.25">
      <c r="A1" t="s">
        <v>34</v>
      </c>
      <c r="B1" t="s">
        <v>10</v>
      </c>
      <c r="C1" t="s">
        <v>11</v>
      </c>
      <c r="D1" t="s">
        <v>23</v>
      </c>
      <c r="E1" t="s">
        <v>24</v>
      </c>
    </row>
    <row r="2" spans="1:5" x14ac:dyDescent="0.25">
      <c r="A2" t="s">
        <v>32</v>
      </c>
      <c r="B2" t="s">
        <v>27</v>
      </c>
      <c r="C2" t="s">
        <v>25</v>
      </c>
      <c r="D2" t="s">
        <v>29</v>
      </c>
      <c r="E2" t="s">
        <v>29</v>
      </c>
    </row>
    <row r="3" spans="1:5" x14ac:dyDescent="0.25">
      <c r="A3" t="s">
        <v>33</v>
      </c>
      <c r="B3" t="s">
        <v>28</v>
      </c>
      <c r="C3" t="s">
        <v>26</v>
      </c>
      <c r="D3" t="s">
        <v>29</v>
      </c>
      <c r="E3" t="s">
        <v>29</v>
      </c>
    </row>
    <row r="4" spans="1:5" x14ac:dyDescent="0.25">
      <c r="A4" t="s">
        <v>37</v>
      </c>
      <c r="B4" t="s">
        <v>36</v>
      </c>
      <c r="C4" t="s">
        <v>31</v>
      </c>
      <c r="D4" t="s">
        <v>27</v>
      </c>
      <c r="E4" t="s">
        <v>25</v>
      </c>
    </row>
    <row r="5" spans="1:5" x14ac:dyDescent="0.25">
      <c r="A5" t="s">
        <v>30</v>
      </c>
      <c r="B5" t="s">
        <v>35</v>
      </c>
      <c r="C5" t="s">
        <v>46</v>
      </c>
      <c r="D5" t="s">
        <v>27</v>
      </c>
      <c r="E5" t="s">
        <v>25</v>
      </c>
    </row>
    <row r="6" spans="1:5" x14ac:dyDescent="0.25">
      <c r="A6" t="s">
        <v>40</v>
      </c>
      <c r="B6" t="s">
        <v>38</v>
      </c>
      <c r="C6" t="s">
        <v>39</v>
      </c>
      <c r="D6" t="s">
        <v>28</v>
      </c>
      <c r="E6" t="s">
        <v>26</v>
      </c>
    </row>
    <row r="7" spans="1:5" x14ac:dyDescent="0.25">
      <c r="A7" t="s">
        <v>43</v>
      </c>
      <c r="B7" t="s">
        <v>41</v>
      </c>
      <c r="C7" t="s">
        <v>42</v>
      </c>
      <c r="D7" t="s">
        <v>28</v>
      </c>
      <c r="E7" t="s">
        <v>26</v>
      </c>
    </row>
    <row r="8" spans="1:5" x14ac:dyDescent="0.25">
      <c r="A8" t="s">
        <v>45</v>
      </c>
      <c r="B8" t="s">
        <v>44</v>
      </c>
      <c r="C8" t="s">
        <v>47</v>
      </c>
      <c r="D8" t="s">
        <v>36</v>
      </c>
      <c r="E8" t="s">
        <v>31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2D18E-977B-4F2A-B47E-FA858F0FBC4C}">
  <sheetPr codeName="Sheet4"/>
  <dimension ref="A1:H4"/>
  <sheetViews>
    <sheetView workbookViewId="0">
      <selection activeCell="E16" sqref="E16"/>
    </sheetView>
  </sheetViews>
  <sheetFormatPr defaultColWidth="26.7109375" defaultRowHeight="15" x14ac:dyDescent="0.25"/>
  <cols>
    <col min="1" max="1" width="14" bestFit="1" customWidth="1"/>
    <col min="2" max="2" width="14.140625" bestFit="1" customWidth="1"/>
    <col min="3" max="3" width="31.5703125" customWidth="1"/>
    <col min="4" max="4" width="40.140625" customWidth="1"/>
    <col min="5" max="5" width="19" customWidth="1"/>
    <col min="6" max="6" width="27.42578125" customWidth="1"/>
    <col min="7" max="7" width="16" bestFit="1" customWidth="1"/>
    <col min="8" max="8" width="26.5703125" customWidth="1"/>
  </cols>
  <sheetData>
    <row r="1" spans="1:8" s="2" customFormat="1" x14ac:dyDescent="0.25">
      <c r="A1" s="2" t="s">
        <v>34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48</v>
      </c>
    </row>
    <row r="2" spans="1:8" x14ac:dyDescent="0.25">
      <c r="A2" t="s">
        <v>57</v>
      </c>
      <c r="B2" t="s">
        <v>49</v>
      </c>
      <c r="C2" t="s">
        <v>50</v>
      </c>
      <c r="D2" t="s">
        <v>52</v>
      </c>
      <c r="E2">
        <v>8409725709</v>
      </c>
      <c r="F2" t="s">
        <v>56</v>
      </c>
      <c r="G2">
        <v>-40</v>
      </c>
      <c r="H2" t="s">
        <v>42</v>
      </c>
    </row>
    <row r="3" spans="1:8" x14ac:dyDescent="0.25">
      <c r="A3" t="s">
        <v>54</v>
      </c>
      <c r="B3" t="s">
        <v>53</v>
      </c>
      <c r="C3" t="s">
        <v>58</v>
      </c>
      <c r="D3" t="s">
        <v>51</v>
      </c>
      <c r="E3">
        <v>44842842482</v>
      </c>
      <c r="F3" t="s">
        <v>59</v>
      </c>
      <c r="G3">
        <v>904480</v>
      </c>
      <c r="H3" t="s">
        <v>46</v>
      </c>
    </row>
    <row r="4" spans="1:8" x14ac:dyDescent="0.25">
      <c r="A4" t="s">
        <v>63</v>
      </c>
      <c r="B4" t="s">
        <v>55</v>
      </c>
      <c r="C4" t="s">
        <v>60</v>
      </c>
      <c r="D4" t="s">
        <v>61</v>
      </c>
      <c r="E4">
        <v>8435431351</v>
      </c>
      <c r="F4" t="s">
        <v>62</v>
      </c>
      <c r="G4">
        <v>-445</v>
      </c>
      <c r="H4" t="s">
        <v>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86469-3B92-4D84-A956-2A646EFC3840}">
  <sheetPr codeName="Sheet6"/>
  <dimension ref="A1:C4"/>
  <sheetViews>
    <sheetView workbookViewId="0">
      <selection activeCell="D9" sqref="D9"/>
    </sheetView>
  </sheetViews>
  <sheetFormatPr defaultRowHeight="15" x14ac:dyDescent="0.25"/>
  <cols>
    <col min="1" max="4" width="29.42578125" customWidth="1"/>
  </cols>
  <sheetData>
    <row r="1" spans="1:3" s="3" customFormat="1" x14ac:dyDescent="0.25">
      <c r="A1" s="3" t="s">
        <v>34</v>
      </c>
      <c r="B1" s="3" t="s">
        <v>67</v>
      </c>
      <c r="C1" s="3" t="s">
        <v>68</v>
      </c>
    </row>
    <row r="2" spans="1:3" x14ac:dyDescent="0.25">
      <c r="A2" t="s">
        <v>70</v>
      </c>
      <c r="B2" t="s">
        <v>69</v>
      </c>
      <c r="C2" t="s">
        <v>74</v>
      </c>
    </row>
    <row r="3" spans="1:3" x14ac:dyDescent="0.25">
      <c r="A3" t="s">
        <v>73</v>
      </c>
      <c r="B3" t="s">
        <v>71</v>
      </c>
      <c r="C3" t="s">
        <v>72</v>
      </c>
    </row>
    <row r="4" spans="1:3" x14ac:dyDescent="0.25">
      <c r="A4" t="s">
        <v>77</v>
      </c>
      <c r="B4" t="s">
        <v>75</v>
      </c>
      <c r="C4" t="s">
        <v>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DCB4-0817-49E6-8670-562E320214A4}">
  <sheetPr codeName="Sheet5"/>
  <dimension ref="A1:D3"/>
  <sheetViews>
    <sheetView workbookViewId="0">
      <selection activeCell="A3" sqref="A3"/>
    </sheetView>
  </sheetViews>
  <sheetFormatPr defaultRowHeight="15" x14ac:dyDescent="0.25"/>
  <cols>
    <col min="1" max="4" width="27.28515625" customWidth="1"/>
  </cols>
  <sheetData>
    <row r="1" spans="1:4" s="3" customFormat="1" x14ac:dyDescent="0.25">
      <c r="A1" s="3" t="s">
        <v>34</v>
      </c>
      <c r="B1" s="3" t="s">
        <v>66</v>
      </c>
      <c r="C1" s="3" t="s">
        <v>64</v>
      </c>
      <c r="D1" s="3" t="s">
        <v>65</v>
      </c>
    </row>
    <row r="2" spans="1:4" x14ac:dyDescent="0.25">
      <c r="A2" t="s">
        <v>80</v>
      </c>
      <c r="B2" t="s">
        <v>79</v>
      </c>
      <c r="C2" t="s">
        <v>78</v>
      </c>
      <c r="D2" t="s">
        <v>74</v>
      </c>
    </row>
    <row r="3" spans="1:4" x14ac:dyDescent="0.25">
      <c r="A3" t="s">
        <v>82</v>
      </c>
      <c r="B3" t="s">
        <v>81</v>
      </c>
      <c r="C3" t="s">
        <v>83</v>
      </c>
      <c r="D3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none</vt:lpstr>
      <vt:lpstr>accounting_vouchers</vt:lpstr>
      <vt:lpstr>adjustment_voucher</vt:lpstr>
      <vt:lpstr>User_Database</vt:lpstr>
      <vt:lpstr>Group_Database</vt:lpstr>
      <vt:lpstr>Accounts_Database</vt:lpstr>
      <vt:lpstr>Stock_Group_Database</vt:lpstr>
      <vt:lpstr>Stock_Item_Database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zone</dc:creator>
  <cp:lastModifiedBy>C zone</cp:lastModifiedBy>
  <dcterms:created xsi:type="dcterms:W3CDTF">2021-04-26T05:37:42Z</dcterms:created>
  <dcterms:modified xsi:type="dcterms:W3CDTF">2021-05-11T08:19:50Z</dcterms:modified>
</cp:coreProperties>
</file>